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"/>
    </mc:Choice>
  </mc:AlternateContent>
  <xr:revisionPtr revIDLastSave="0" documentId="13_ncr:1_{3D50F75A-FE30-6C46-8243-67E81247BA07}" xr6:coauthVersionLast="47" xr6:coauthVersionMax="47" xr10:uidLastSave="{00000000-0000-0000-0000-000000000000}"/>
  <bookViews>
    <workbookView xWindow="0" yWindow="660" windowWidth="28800" windowHeight="15940" xr2:uid="{6B53A8BC-CEAD-3D41-BD1D-F4619317B36C}"/>
  </bookViews>
  <sheets>
    <sheet name="Sheet1" sheetId="1" r:id="rId1"/>
    <sheet name="ACCESS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F10" i="1" s="1"/>
  <c r="E11" i="1"/>
  <c r="E12" i="1"/>
  <c r="F12" i="1" s="1"/>
  <c r="E13" i="1"/>
  <c r="F13" i="1" s="1"/>
  <c r="E14" i="1"/>
  <c r="F14" i="1" s="1"/>
  <c r="E15" i="1"/>
  <c r="E16" i="1"/>
  <c r="E17" i="1"/>
  <c r="E18" i="1"/>
  <c r="E19" i="1"/>
  <c r="E20" i="1"/>
  <c r="F20" i="1" s="1"/>
  <c r="E21" i="1"/>
  <c r="E22" i="1"/>
  <c r="E23" i="1"/>
  <c r="F23" i="1" s="1"/>
  <c r="E24" i="1"/>
  <c r="F24" i="1" s="1"/>
  <c r="E25" i="1"/>
  <c r="E26" i="1"/>
  <c r="E27" i="1"/>
  <c r="E28" i="1"/>
  <c r="E29" i="1"/>
  <c r="E30" i="1"/>
  <c r="E31" i="1"/>
  <c r="E32" i="1"/>
  <c r="E33" i="1"/>
  <c r="E34" i="1"/>
  <c r="F34" i="1" s="1"/>
  <c r="E35" i="1"/>
  <c r="E36" i="1"/>
  <c r="E37" i="1"/>
  <c r="E38" i="1"/>
  <c r="E39" i="1"/>
  <c r="E40" i="1"/>
  <c r="E41" i="1"/>
  <c r="E42" i="1"/>
  <c r="F42" i="1" s="1"/>
  <c r="E43" i="1"/>
  <c r="F43" i="1" s="1"/>
  <c r="E44" i="1"/>
  <c r="F44" i="1" s="1"/>
  <c r="E45" i="1"/>
  <c r="E46" i="1"/>
  <c r="E47" i="1"/>
  <c r="E48" i="1"/>
  <c r="E49" i="1"/>
  <c r="E50" i="1"/>
  <c r="E51" i="1"/>
  <c r="E52" i="1"/>
  <c r="E53" i="1"/>
  <c r="F53" i="1" s="1"/>
  <c r="E54" i="1"/>
  <c r="F54" i="1" s="1"/>
  <c r="E55" i="1"/>
  <c r="F4" i="1"/>
  <c r="E4" i="1"/>
  <c r="F15" i="1"/>
  <c r="F16" i="1"/>
  <c r="F17" i="1"/>
  <c r="F18" i="1"/>
  <c r="F19" i="1"/>
  <c r="F25" i="1"/>
  <c r="F26" i="1"/>
  <c r="F27" i="1"/>
  <c r="F28" i="1"/>
  <c r="F31" i="1"/>
  <c r="F33" i="1"/>
  <c r="F36" i="1"/>
  <c r="F39" i="1"/>
  <c r="F40" i="1"/>
  <c r="F47" i="1"/>
  <c r="F51" i="1"/>
  <c r="F52" i="1"/>
  <c r="F7" i="1"/>
  <c r="F8" i="1"/>
  <c r="F9" i="1"/>
  <c r="F11" i="1"/>
  <c r="F35" i="1"/>
  <c r="F48" i="1"/>
  <c r="F49" i="1"/>
  <c r="F50" i="1"/>
  <c r="F6" i="1"/>
  <c r="F38" i="1"/>
  <c r="F5" i="1"/>
  <c r="F29" i="1"/>
  <c r="F30" i="1"/>
  <c r="F32" i="1"/>
  <c r="F46" i="1"/>
  <c r="F41" i="1"/>
  <c r="F21" i="1"/>
  <c r="F22" i="1"/>
  <c r="F37" i="1"/>
  <c r="F45" i="1"/>
  <c r="F55" i="1"/>
</calcChain>
</file>

<file path=xl/sharedStrings.xml><?xml version="1.0" encoding="utf-8"?>
<sst xmlns="http://schemas.openxmlformats.org/spreadsheetml/2006/main" count="210" uniqueCount="210">
  <si>
    <t>Qty (Actual)</t>
  </si>
  <si>
    <t>Qty (Total)</t>
  </si>
  <si>
    <t>Total Order Qty</t>
  </si>
  <si>
    <t>UOM</t>
  </si>
  <si>
    <t>Outward Inventory Sheet</t>
  </si>
  <si>
    <t>PVC GITTY 30X10MM</t>
  </si>
  <si>
    <t>PVC GITTY 40X10MM</t>
  </si>
  <si>
    <t>PVC GITTY 50X10MM</t>
  </si>
  <si>
    <t>ALLEN SCREW 0.5 INCH</t>
  </si>
  <si>
    <t>ALLEN SCREW 0.6 INCH</t>
  </si>
  <si>
    <t>RIVET 6MM</t>
  </si>
  <si>
    <t>NUT 3.5x25</t>
  </si>
  <si>
    <t>BOLT 3.5x25</t>
  </si>
  <si>
    <t>PATTA WASHER</t>
  </si>
  <si>
    <t>L-ANGLE 25x50</t>
  </si>
  <si>
    <t>L-ANGLE 50x50</t>
  </si>
  <si>
    <t>SS MACHINE SCREW</t>
  </si>
  <si>
    <t>SELF DRILLING SCREW 19MM</t>
  </si>
  <si>
    <t>SELF DRILLING SCREW 25MM</t>
  </si>
  <si>
    <t>SELF DRILLING SCREW 38MM</t>
  </si>
  <si>
    <t>SELF DRILLING SCREW 50MM</t>
  </si>
  <si>
    <t>FULL THREADED SCREW 19MM</t>
  </si>
  <si>
    <t>FULL THREADED SCREW 25MM</t>
  </si>
  <si>
    <t>FULL THREADED SCREW 38MM</t>
  </si>
  <si>
    <t>FULL THREADED SCREW 50MM</t>
  </si>
  <si>
    <t>FULL THREADED SCREW 63MM</t>
  </si>
  <si>
    <t>FULL THREADED SCREW 75MM</t>
  </si>
  <si>
    <t>AEROFOIL C-CHANNEL 50MM</t>
  </si>
  <si>
    <t>AEROFOIL C-CHANNEL 75MM</t>
  </si>
  <si>
    <t>AEROFOIL C-CHANNEL 100MM</t>
  </si>
  <si>
    <t>AEROFOIL C-CHANNEL 112MM</t>
  </si>
  <si>
    <t>AC-AF-50-CH</t>
  </si>
  <si>
    <t>AC-AF-75-CH</t>
  </si>
  <si>
    <t>AC-AF-100-CH</t>
  </si>
  <si>
    <t>AC-AF-112-CH</t>
  </si>
  <si>
    <t>BLACK GYPSUM DRYWALL SCREW 12MM</t>
  </si>
  <si>
    <t>BLACK GYPSUM DRYWALL SCREW 19MM</t>
  </si>
  <si>
    <t>BLACK GYPSUM DRYWALL SCREW 25MM</t>
  </si>
  <si>
    <t>BLACK GYPSUM DRYWALL SCREW 38MM</t>
  </si>
  <si>
    <t>AC-SC-DW12</t>
  </si>
  <si>
    <t>AC-SC-DW19</t>
  </si>
  <si>
    <t>AC-SC-DW25</t>
  </si>
  <si>
    <t>AC-SC-DW38</t>
  </si>
  <si>
    <t>Colour</t>
  </si>
  <si>
    <t>Finish</t>
  </si>
  <si>
    <t>Product Name</t>
  </si>
  <si>
    <t>Length (mm)</t>
  </si>
  <si>
    <t>CNC Hole Distance (mm)</t>
  </si>
  <si>
    <t>Product Code</t>
  </si>
  <si>
    <t>AC-LA-2550</t>
  </si>
  <si>
    <t>AC-LA-5050</t>
  </si>
  <si>
    <t>AC-LA-2525</t>
  </si>
  <si>
    <t>L-ANGLE 25x25</t>
  </si>
  <si>
    <t>AC-LA-GNRL</t>
  </si>
  <si>
    <t>L-ANGLE</t>
  </si>
  <si>
    <t>AC-GN-TP</t>
  </si>
  <si>
    <t>DOUBLE SIDED TAPE</t>
  </si>
  <si>
    <t>ALUMINIUM SLAT 2MM</t>
  </si>
  <si>
    <t>AC-GN-LA</t>
  </si>
  <si>
    <t>SS L-ANGLE</t>
  </si>
  <si>
    <t>AC-GN-ER</t>
  </si>
  <si>
    <t>EPDM RUBBER GASKET</t>
  </si>
  <si>
    <t>AC-GN-HG</t>
  </si>
  <si>
    <t>W-HINGE</t>
  </si>
  <si>
    <t>AC-GN-PL</t>
  </si>
  <si>
    <t>PUSH LOCK</t>
  </si>
  <si>
    <t>AC-GN-CH</t>
  </si>
  <si>
    <t>C-CHANNEL W-HINGE</t>
  </si>
  <si>
    <t>AC-GN-CP</t>
  </si>
  <si>
    <t>C-CHANNEL PUSH LOCK</t>
  </si>
  <si>
    <t>AC-GN-TA</t>
  </si>
  <si>
    <t>BARRISOL MIRROR TOP L ANGLE</t>
  </si>
  <si>
    <t>AC-GN-SA</t>
  </si>
  <si>
    <t>BARRISOL MIRROR SIDE L ANGLE</t>
  </si>
  <si>
    <t>AC-BT-3525</t>
  </si>
  <si>
    <t>AC-NT-3525</t>
  </si>
  <si>
    <t>AC-WS-3525</t>
  </si>
  <si>
    <t>AC-GT-1030</t>
  </si>
  <si>
    <t>AC-GT-1040</t>
  </si>
  <si>
    <t>AC-GT-1050</t>
  </si>
  <si>
    <t>AC-SC-AL05</t>
  </si>
  <si>
    <t>AC-SC-AL06</t>
  </si>
  <si>
    <t>AC-SC-SD19</t>
  </si>
  <si>
    <t>AC-SC-SD25</t>
  </si>
  <si>
    <t>AC-SC-SD38</t>
  </si>
  <si>
    <t>AC-SC-SD50</t>
  </si>
  <si>
    <t>AC-SC-FT19</t>
  </si>
  <si>
    <t>AC-SC-FT25</t>
  </si>
  <si>
    <t>AC-SC-FT38</t>
  </si>
  <si>
    <t>AC-SC-FT50</t>
  </si>
  <si>
    <t>AC-SC-FT63</t>
  </si>
  <si>
    <t>AC-SC-FT75</t>
  </si>
  <si>
    <t>AC-SC-SSMC</t>
  </si>
  <si>
    <t>AC-SC-PUSH</t>
  </si>
  <si>
    <t>PUSHLOCK SCREW</t>
  </si>
  <si>
    <t>AC-SC-TP16</t>
  </si>
  <si>
    <t>TRUSS HEAD PHILLIPS SCREW 16MM</t>
  </si>
  <si>
    <t>AC-RV-0006</t>
  </si>
  <si>
    <t>AC-GN-SW</t>
  </si>
  <si>
    <t>SILICON BOTTLE WHITE</t>
  </si>
  <si>
    <t>AC-GN-SB</t>
  </si>
  <si>
    <t>SILICON BOTTLE BLACK</t>
  </si>
  <si>
    <t>AC-SC-CP20</t>
  </si>
  <si>
    <t>CSK PHILIPS SCREW 4x20MM</t>
  </si>
  <si>
    <t>AC-NT-HN04</t>
  </si>
  <si>
    <t>HEX NYLON NUT 4MM</t>
  </si>
  <si>
    <t>AC-GN-CC</t>
  </si>
  <si>
    <t>C-CLAMP</t>
  </si>
  <si>
    <t>AC-GN-PB</t>
  </si>
  <si>
    <t>PAINT BRUSH</t>
  </si>
  <si>
    <t>AC-GN-PT</t>
  </si>
  <si>
    <t>PAINT</t>
  </si>
  <si>
    <t>L-ANGLE 19x19</t>
  </si>
  <si>
    <t>AC-LA-1919</t>
  </si>
  <si>
    <t>L-ANGLE 25x86</t>
  </si>
  <si>
    <t>W-HINGE SCREW</t>
  </si>
  <si>
    <t>GRILLE 2550 INVERSE-L ENDCAP</t>
  </si>
  <si>
    <t>GRILLE 2550 L-ENDCAP</t>
  </si>
  <si>
    <t>GRILLE 2050 RIGHT ENDCAP</t>
  </si>
  <si>
    <t>GRILLE 2050 LEFT ENDCAP</t>
  </si>
  <si>
    <t>GRILLE 2550 JOINING PIECE</t>
  </si>
  <si>
    <t>GRILLE 2050 JOINING PIECE</t>
  </si>
  <si>
    <t>GRILLE 2550 L-CORNER PIECES</t>
  </si>
  <si>
    <t>AEROFOIL 60/100 PIVOT TOP</t>
  </si>
  <si>
    <t>AEROFOIL 60/100 PIVOT BOTTOM</t>
  </si>
  <si>
    <t>AEROFOIL 150/200 PIVOT TOP</t>
  </si>
  <si>
    <t>AEROFOIL 150/200 PIVOT BOTTOM</t>
  </si>
  <si>
    <t>AEROFOIL 60/100 PIVOT T-WASHER</t>
  </si>
  <si>
    <t>AEROFOIL 150/200 PIVOT T-WASHER</t>
  </si>
  <si>
    <t>AEROFOIL 60/100 PACKING WASHER</t>
  </si>
  <si>
    <t>AEROFOIL 150/200 PACKING WASHER</t>
  </si>
  <si>
    <t>AEROFOIL LINKING T-WASHER</t>
  </si>
  <si>
    <t>AEROFOIL LINKING WASHER</t>
  </si>
  <si>
    <t>AEROFOIL MOVEABLE KNOB</t>
  </si>
  <si>
    <t>AEROFOIL 60 ENDCAP</t>
  </si>
  <si>
    <t>AEROFOIL 100 ENDCAP</t>
  </si>
  <si>
    <t>AEROFOIL 150 ENDCAP</t>
  </si>
  <si>
    <t>AEROFOIL 200 ENDCAP</t>
  </si>
  <si>
    <t>AEROFOIL 250 ENDCAP</t>
  </si>
  <si>
    <t>AEROFOIL 60 FRINGE ENDCAP</t>
  </si>
  <si>
    <t>AEROFOIL 100 FRINGE ENDCAP</t>
  </si>
  <si>
    <t>AEROFOIL 150 FRINGE ENDCAP</t>
  </si>
  <si>
    <t>AEROFOIL 200 FRINGE ENDCAP</t>
  </si>
  <si>
    <t>AEROFOIL 250 FRINGE ENDCAP</t>
  </si>
  <si>
    <t>AEROFOIL 60 MOVEABLE ENDCAP</t>
  </si>
  <si>
    <t>AEROFOIL 100 MOVEABLE ENDCAP</t>
  </si>
  <si>
    <t>AEROFOIL 150 MOVEABLE ENDCAP</t>
  </si>
  <si>
    <t>AEROFOIL 200 MOVEABLE ENDCAP</t>
  </si>
  <si>
    <t>RECTANGULAR ENDCAP 30x60</t>
  </si>
  <si>
    <t>RECTANGULAR ENDCAP 50x75</t>
  </si>
  <si>
    <t>RECTANGULAR ENDCAP 50x100</t>
  </si>
  <si>
    <t>RECTANGULAR ENDCAP 50x125</t>
  </si>
  <si>
    <t>LOUVERS HINGE</t>
  </si>
  <si>
    <t>ALUMINIUM SLAT 3MM</t>
  </si>
  <si>
    <t>SCISSORS</t>
  </si>
  <si>
    <t>CELLO TAPE 75MM</t>
  </si>
  <si>
    <t>PAPER CUTTER</t>
  </si>
  <si>
    <t>CUTTER BLADE PACKET</t>
  </si>
  <si>
    <t>MAGNETIC CATCHER</t>
  </si>
  <si>
    <t>ALLEN KEY</t>
  </si>
  <si>
    <t>PVC CLIP B440/62</t>
  </si>
  <si>
    <t>AC-LA-2586</t>
  </si>
  <si>
    <t>AC-SC-WHNG</t>
  </si>
  <si>
    <t>AC-GR-25ER</t>
  </si>
  <si>
    <t>AC-GR-25EL</t>
  </si>
  <si>
    <t>AC-GR-20ER</t>
  </si>
  <si>
    <t>AC-GR-20EL</t>
  </si>
  <si>
    <t>AC-GR-25JP</t>
  </si>
  <si>
    <t>AC-GR-20JP</t>
  </si>
  <si>
    <t>AC-GR-25CR</t>
  </si>
  <si>
    <t>AC-AF-6010-PT</t>
  </si>
  <si>
    <t>AC-AF-6010-PB</t>
  </si>
  <si>
    <t>AC-AF-1520-PT</t>
  </si>
  <si>
    <t>AC-AF-1520-PB</t>
  </si>
  <si>
    <t>AC-AF-6010-TW</t>
  </si>
  <si>
    <t>AC-AF-1520-TW</t>
  </si>
  <si>
    <t>AC-AF-6010-WS</t>
  </si>
  <si>
    <t>AC-AF-1520-WS</t>
  </si>
  <si>
    <t>AC-AF-GNRL-LT</t>
  </si>
  <si>
    <t>AC-AF-GNRL-LW</t>
  </si>
  <si>
    <t>AC-AF-KNOB-GN</t>
  </si>
  <si>
    <t>AC-AF-0060-FE</t>
  </si>
  <si>
    <t>AC-AF-0100-FE</t>
  </si>
  <si>
    <t>AC-AF-0150-FE</t>
  </si>
  <si>
    <t>AC-AF-0200-FE</t>
  </si>
  <si>
    <t>AC-AF-0250-FE</t>
  </si>
  <si>
    <t>AC-AF-0060-GE</t>
  </si>
  <si>
    <t>AC-AF-0100-GE</t>
  </si>
  <si>
    <t>AC-AF-0150-GE</t>
  </si>
  <si>
    <t>AC-AF-0200-GE</t>
  </si>
  <si>
    <t>AC-AF-0250-GE</t>
  </si>
  <si>
    <t>AC-AF-0060-ME</t>
  </si>
  <si>
    <t>AC-AF-0100-ME</t>
  </si>
  <si>
    <t>AC-AF-0150-ME</t>
  </si>
  <si>
    <t>AC-AF-0200-ME</t>
  </si>
  <si>
    <t>RS-03060-EC-02</t>
  </si>
  <si>
    <t>RS-05075-EC-02</t>
  </si>
  <si>
    <t>RS-50100-EC-02</t>
  </si>
  <si>
    <t>RS-50125-EC-02</t>
  </si>
  <si>
    <t>AC-GN-AS2</t>
  </si>
  <si>
    <t>AC-GN-AS3</t>
  </si>
  <si>
    <t>AC-GN-WH</t>
  </si>
  <si>
    <t>AC-GN-SC</t>
  </si>
  <si>
    <t>AC-GN-CT</t>
  </si>
  <si>
    <t>AC-GN-PR</t>
  </si>
  <si>
    <t>AC-GN-BP</t>
  </si>
  <si>
    <t>AC-GN-MC</t>
  </si>
  <si>
    <t>AC-GN-AK</t>
  </si>
  <si>
    <t>AC-GN-PC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</si>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</sst>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60D4-D91E-904F-BAC8-D5916B9E7F0E}">
  <dimension ref="A1:K55"/>
  <sheetViews>
    <sheetView tabSelected="1" zoomScale="93" workbookViewId="0">
      <selection activeCell="H28" sqref="H28"/>
    </sheetView>
  </sheetViews>
  <sheetFormatPr baseColWidth="10" defaultRowHeight="18" x14ac:dyDescent="0.2"/>
  <cols>
    <col min="1" max="1" width="31.33203125" style="5" customWidth="1"/>
    <col min="2" max="2" width="34.6640625" style="5" customWidth="1"/>
    <col min="3" max="3" width="18.83203125" style="5" customWidth="1"/>
    <col min="4" max="4" width="17.6640625" style="5" customWidth="1"/>
    <col min="5" max="5" width="19.1640625" style="5" customWidth="1"/>
    <col min="6" max="6" width="19.33203125" style="5" customWidth="1"/>
    <col min="7" max="7" width="14" style="5" customWidth="1"/>
    <col min="8" max="8" width="22.83203125" style="5" customWidth="1"/>
    <col min="9" max="9" width="21.1640625" style="5" customWidth="1"/>
    <col min="10" max="10" width="28" style="5" customWidth="1"/>
    <col min="11" max="11" width="23.1640625" style="6" customWidth="1"/>
    <col min="12" max="16384" width="10.83203125" style="3"/>
  </cols>
  <sheetData>
    <row r="1" spans="1:11" s="2" customFormat="1" ht="32" customHeight="1" x14ac:dyDescent="0.2">
      <c r="A1" s="8"/>
      <c r="B1" s="8"/>
      <c r="C1" s="9" t="s">
        <v>4</v>
      </c>
      <c r="D1" s="9"/>
      <c r="E1" s="9"/>
      <c r="F1" s="9"/>
      <c r="G1" s="9"/>
      <c r="H1" s="9"/>
      <c r="I1" s="12"/>
      <c r="J1" s="13"/>
      <c r="K1" s="14"/>
    </row>
    <row r="2" spans="1:11" s="2" customFormat="1" ht="30" customHeight="1" x14ac:dyDescent="0.2">
      <c r="A2" s="8"/>
      <c r="B2" s="8"/>
      <c r="C2" s="10"/>
      <c r="D2" s="10"/>
      <c r="E2" s="10"/>
      <c r="F2" s="10"/>
      <c r="G2" s="10"/>
      <c r="H2" s="10"/>
      <c r="I2" s="15"/>
      <c r="J2" s="16"/>
      <c r="K2" s="17"/>
    </row>
    <row r="3" spans="1:11" ht="27" customHeight="1" x14ac:dyDescent="0.2">
      <c r="A3" s="1" t="s">
        <v>48</v>
      </c>
      <c r="B3" s="1" t="s">
        <v>45</v>
      </c>
      <c r="C3" s="1" t="s">
        <v>46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43</v>
      </c>
      <c r="I3" s="1" t="s">
        <v>44</v>
      </c>
      <c r="J3" s="1" t="s">
        <v>47</v>
      </c>
      <c r="K3" s="11" t="s">
        <v>209</v>
      </c>
    </row>
    <row r="4" spans="1:11" x14ac:dyDescent="0.2">
      <c r="B4" s="6"/>
      <c r="C4" s="7"/>
      <c r="D4" s="7"/>
      <c r="E4" s="7">
        <f>D4</f>
        <v>0</v>
      </c>
      <c r="F4" s="7">
        <f t="shared" ref="F4:F35" si="0">IF(ISBLANK(C4), E4,ROUND(((C4*E4)/1000), 2))</f>
        <v>0</v>
      </c>
      <c r="G4" s="7"/>
      <c r="H4" s="7"/>
    </row>
    <row r="5" spans="1:11" x14ac:dyDescent="0.2">
      <c r="B5" s="6"/>
      <c r="C5" s="7"/>
      <c r="D5" s="7"/>
      <c r="E5" s="7">
        <f t="shared" ref="E5:E55" si="1">D5</f>
        <v>0</v>
      </c>
      <c r="F5" s="7">
        <f t="shared" si="0"/>
        <v>0</v>
      </c>
      <c r="G5" s="7"/>
      <c r="H5" s="7"/>
    </row>
    <row r="6" spans="1:11" x14ac:dyDescent="0.2">
      <c r="B6" s="6"/>
      <c r="C6" s="7"/>
      <c r="D6" s="7"/>
      <c r="E6" s="7">
        <f t="shared" si="1"/>
        <v>0</v>
      </c>
      <c r="F6" s="7">
        <f t="shared" si="0"/>
        <v>0</v>
      </c>
      <c r="G6" s="7"/>
      <c r="H6" s="7"/>
    </row>
    <row r="7" spans="1:11" x14ac:dyDescent="0.2">
      <c r="B7" s="6"/>
      <c r="C7" s="7"/>
      <c r="D7" s="7"/>
      <c r="E7" s="7">
        <f t="shared" si="1"/>
        <v>0</v>
      </c>
      <c r="F7" s="7">
        <f t="shared" si="0"/>
        <v>0</v>
      </c>
      <c r="G7" s="7"/>
      <c r="H7" s="7"/>
    </row>
    <row r="8" spans="1:11" x14ac:dyDescent="0.2">
      <c r="B8" s="6"/>
      <c r="C8" s="7"/>
      <c r="D8" s="7"/>
      <c r="E8" s="7">
        <f t="shared" si="1"/>
        <v>0</v>
      </c>
      <c r="F8" s="7">
        <f t="shared" si="0"/>
        <v>0</v>
      </c>
      <c r="G8" s="7"/>
      <c r="H8" s="7"/>
    </row>
    <row r="9" spans="1:11" x14ac:dyDescent="0.2">
      <c r="B9" s="6"/>
      <c r="C9" s="7"/>
      <c r="D9" s="7"/>
      <c r="E9" s="7">
        <f t="shared" si="1"/>
        <v>0</v>
      </c>
      <c r="F9" s="7">
        <f t="shared" si="0"/>
        <v>0</v>
      </c>
      <c r="G9" s="7"/>
      <c r="H9" s="7"/>
    </row>
    <row r="10" spans="1:11" x14ac:dyDescent="0.2">
      <c r="B10" s="6"/>
      <c r="C10" s="7"/>
      <c r="D10" s="7"/>
      <c r="E10" s="7">
        <f t="shared" si="1"/>
        <v>0</v>
      </c>
      <c r="F10" s="7">
        <f t="shared" si="0"/>
        <v>0</v>
      </c>
      <c r="G10" s="7"/>
      <c r="H10" s="7"/>
    </row>
    <row r="11" spans="1:11" x14ac:dyDescent="0.2">
      <c r="B11" s="6"/>
      <c r="C11" s="7"/>
      <c r="D11" s="7"/>
      <c r="E11" s="7">
        <f t="shared" si="1"/>
        <v>0</v>
      </c>
      <c r="F11" s="7">
        <f t="shared" si="0"/>
        <v>0</v>
      </c>
      <c r="G11" s="7"/>
      <c r="H11" s="7"/>
    </row>
    <row r="12" spans="1:11" x14ac:dyDescent="0.2">
      <c r="B12" s="6"/>
      <c r="C12" s="7"/>
      <c r="D12" s="7"/>
      <c r="E12" s="7">
        <f t="shared" si="1"/>
        <v>0</v>
      </c>
      <c r="F12" s="7">
        <f t="shared" si="0"/>
        <v>0</v>
      </c>
      <c r="G12" s="7"/>
      <c r="H12" s="7"/>
    </row>
    <row r="13" spans="1:11" x14ac:dyDescent="0.2">
      <c r="B13" s="6"/>
      <c r="C13" s="7"/>
      <c r="D13" s="7"/>
      <c r="E13" s="7">
        <f t="shared" si="1"/>
        <v>0</v>
      </c>
      <c r="F13" s="7">
        <f t="shared" si="0"/>
        <v>0</v>
      </c>
      <c r="G13" s="7"/>
      <c r="H13" s="7"/>
    </row>
    <row r="14" spans="1:11" x14ac:dyDescent="0.2">
      <c r="B14" s="6"/>
      <c r="C14" s="7"/>
      <c r="D14" s="7"/>
      <c r="E14" s="7">
        <f t="shared" si="1"/>
        <v>0</v>
      </c>
      <c r="F14" s="7">
        <f t="shared" si="0"/>
        <v>0</v>
      </c>
      <c r="G14" s="7"/>
      <c r="H14" s="7"/>
    </row>
    <row r="15" spans="1:11" x14ac:dyDescent="0.2">
      <c r="B15" s="6"/>
      <c r="C15" s="7"/>
      <c r="D15" s="7"/>
      <c r="E15" s="7">
        <f t="shared" si="1"/>
        <v>0</v>
      </c>
      <c r="F15" s="7">
        <f t="shared" si="0"/>
        <v>0</v>
      </c>
      <c r="G15" s="7"/>
      <c r="H15" s="7"/>
    </row>
    <row r="16" spans="1:11" x14ac:dyDescent="0.2">
      <c r="B16" s="6"/>
      <c r="C16" s="7"/>
      <c r="D16" s="7"/>
      <c r="E16" s="7">
        <f t="shared" si="1"/>
        <v>0</v>
      </c>
      <c r="F16" s="7">
        <f t="shared" si="0"/>
        <v>0</v>
      </c>
      <c r="G16" s="7"/>
      <c r="H16" s="7"/>
    </row>
    <row r="17" spans="2:8" x14ac:dyDescent="0.2">
      <c r="B17" s="6"/>
      <c r="C17" s="7"/>
      <c r="D17" s="7"/>
      <c r="E17" s="7">
        <f t="shared" si="1"/>
        <v>0</v>
      </c>
      <c r="F17" s="7">
        <f t="shared" si="0"/>
        <v>0</v>
      </c>
      <c r="G17" s="7"/>
      <c r="H17" s="7"/>
    </row>
    <row r="18" spans="2:8" x14ac:dyDescent="0.2">
      <c r="B18" s="6"/>
      <c r="C18" s="7"/>
      <c r="D18" s="7"/>
      <c r="E18" s="7">
        <f t="shared" si="1"/>
        <v>0</v>
      </c>
      <c r="F18" s="7">
        <f t="shared" si="0"/>
        <v>0</v>
      </c>
      <c r="G18" s="7"/>
      <c r="H18" s="7"/>
    </row>
    <row r="19" spans="2:8" x14ac:dyDescent="0.2">
      <c r="B19" s="6"/>
      <c r="C19" s="7"/>
      <c r="D19" s="7"/>
      <c r="E19" s="7">
        <f t="shared" si="1"/>
        <v>0</v>
      </c>
      <c r="F19" s="7">
        <f t="shared" si="0"/>
        <v>0</v>
      </c>
      <c r="G19" s="7"/>
      <c r="H19" s="7"/>
    </row>
    <row r="20" spans="2:8" x14ac:dyDescent="0.2">
      <c r="B20" s="6"/>
      <c r="C20" s="7"/>
      <c r="D20" s="7"/>
      <c r="E20" s="7">
        <f t="shared" si="1"/>
        <v>0</v>
      </c>
      <c r="F20" s="7">
        <f t="shared" si="0"/>
        <v>0</v>
      </c>
      <c r="G20" s="7"/>
      <c r="H20" s="7"/>
    </row>
    <row r="21" spans="2:8" x14ac:dyDescent="0.2">
      <c r="B21" s="6"/>
      <c r="C21" s="7"/>
      <c r="D21" s="7"/>
      <c r="E21" s="7">
        <f t="shared" si="1"/>
        <v>0</v>
      </c>
      <c r="F21" s="7">
        <f t="shared" si="0"/>
        <v>0</v>
      </c>
      <c r="G21" s="7"/>
      <c r="H21" s="7"/>
    </row>
    <row r="22" spans="2:8" x14ac:dyDescent="0.2">
      <c r="B22" s="6"/>
      <c r="C22" s="7"/>
      <c r="D22" s="7"/>
      <c r="E22" s="7">
        <f t="shared" si="1"/>
        <v>0</v>
      </c>
      <c r="F22" s="7">
        <f t="shared" si="0"/>
        <v>0</v>
      </c>
      <c r="G22" s="7"/>
      <c r="H22" s="7"/>
    </row>
    <row r="23" spans="2:8" x14ac:dyDescent="0.2">
      <c r="B23" s="6"/>
      <c r="C23" s="7"/>
      <c r="D23" s="7"/>
      <c r="E23" s="7">
        <f t="shared" si="1"/>
        <v>0</v>
      </c>
      <c r="F23" s="7">
        <f t="shared" si="0"/>
        <v>0</v>
      </c>
      <c r="G23" s="7"/>
      <c r="H23" s="7"/>
    </row>
    <row r="24" spans="2:8" x14ac:dyDescent="0.2">
      <c r="B24" s="6"/>
      <c r="C24" s="7"/>
      <c r="D24" s="7"/>
      <c r="E24" s="7">
        <f t="shared" si="1"/>
        <v>0</v>
      </c>
      <c r="F24" s="7">
        <f t="shared" si="0"/>
        <v>0</v>
      </c>
      <c r="G24" s="7"/>
      <c r="H24" s="7"/>
    </row>
    <row r="25" spans="2:8" x14ac:dyDescent="0.2">
      <c r="B25" s="6"/>
      <c r="C25" s="7"/>
      <c r="D25" s="7"/>
      <c r="E25" s="7">
        <f t="shared" si="1"/>
        <v>0</v>
      </c>
      <c r="F25" s="7">
        <f t="shared" si="0"/>
        <v>0</v>
      </c>
      <c r="G25" s="7"/>
      <c r="H25" s="7"/>
    </row>
    <row r="26" spans="2:8" x14ac:dyDescent="0.2">
      <c r="B26" s="6"/>
      <c r="C26" s="7"/>
      <c r="D26" s="7"/>
      <c r="E26" s="7">
        <f t="shared" si="1"/>
        <v>0</v>
      </c>
      <c r="F26" s="7">
        <f t="shared" si="0"/>
        <v>0</v>
      </c>
      <c r="G26" s="7"/>
      <c r="H26" s="7"/>
    </row>
    <row r="27" spans="2:8" x14ac:dyDescent="0.2">
      <c r="B27" s="6"/>
      <c r="C27" s="7"/>
      <c r="D27" s="7"/>
      <c r="E27" s="7">
        <f t="shared" si="1"/>
        <v>0</v>
      </c>
      <c r="F27" s="7">
        <f t="shared" si="0"/>
        <v>0</v>
      </c>
      <c r="G27" s="7"/>
      <c r="H27" s="7"/>
    </row>
    <row r="28" spans="2:8" x14ac:dyDescent="0.2">
      <c r="B28" s="6"/>
      <c r="C28" s="7"/>
      <c r="D28" s="7"/>
      <c r="E28" s="7">
        <f t="shared" si="1"/>
        <v>0</v>
      </c>
      <c r="F28" s="7">
        <f t="shared" si="0"/>
        <v>0</v>
      </c>
      <c r="G28" s="7"/>
      <c r="H28" s="7"/>
    </row>
    <row r="29" spans="2:8" x14ac:dyDescent="0.2">
      <c r="B29" s="6"/>
      <c r="C29" s="7"/>
      <c r="D29" s="7"/>
      <c r="E29" s="7">
        <f t="shared" si="1"/>
        <v>0</v>
      </c>
      <c r="F29" s="7">
        <f t="shared" si="0"/>
        <v>0</v>
      </c>
      <c r="G29" s="7"/>
      <c r="H29" s="7"/>
    </row>
    <row r="30" spans="2:8" x14ac:dyDescent="0.2">
      <c r="B30" s="6"/>
      <c r="C30" s="7"/>
      <c r="D30" s="7"/>
      <c r="E30" s="7">
        <f t="shared" si="1"/>
        <v>0</v>
      </c>
      <c r="F30" s="7">
        <f t="shared" si="0"/>
        <v>0</v>
      </c>
      <c r="G30" s="7"/>
      <c r="H30" s="7"/>
    </row>
    <row r="31" spans="2:8" x14ac:dyDescent="0.2">
      <c r="B31" s="6"/>
      <c r="C31" s="7"/>
      <c r="D31" s="7"/>
      <c r="E31" s="7">
        <f t="shared" si="1"/>
        <v>0</v>
      </c>
      <c r="F31" s="7">
        <f t="shared" si="0"/>
        <v>0</v>
      </c>
      <c r="G31" s="7"/>
      <c r="H31" s="7"/>
    </row>
    <row r="32" spans="2:8" x14ac:dyDescent="0.2">
      <c r="B32" s="6"/>
      <c r="C32" s="7"/>
      <c r="D32" s="7"/>
      <c r="E32" s="7">
        <f t="shared" si="1"/>
        <v>0</v>
      </c>
      <c r="F32" s="7">
        <f t="shared" si="0"/>
        <v>0</v>
      </c>
      <c r="G32" s="7"/>
      <c r="H32" s="7"/>
    </row>
    <row r="33" spans="2:8" x14ac:dyDescent="0.2">
      <c r="B33" s="6"/>
      <c r="C33" s="7"/>
      <c r="D33" s="7"/>
      <c r="E33" s="7">
        <f t="shared" si="1"/>
        <v>0</v>
      </c>
      <c r="F33" s="7">
        <f t="shared" si="0"/>
        <v>0</v>
      </c>
      <c r="G33" s="7"/>
      <c r="H33" s="7"/>
    </row>
    <row r="34" spans="2:8" x14ac:dyDescent="0.2">
      <c r="B34" s="6"/>
      <c r="C34" s="7"/>
      <c r="D34" s="7"/>
      <c r="E34" s="7">
        <f t="shared" si="1"/>
        <v>0</v>
      </c>
      <c r="F34" s="7">
        <f t="shared" si="0"/>
        <v>0</v>
      </c>
      <c r="G34" s="7"/>
      <c r="H34" s="7"/>
    </row>
    <row r="35" spans="2:8" x14ac:dyDescent="0.2">
      <c r="B35" s="6"/>
      <c r="C35" s="7"/>
      <c r="D35" s="7"/>
      <c r="E35" s="7">
        <f t="shared" si="1"/>
        <v>0</v>
      </c>
      <c r="F35" s="7">
        <f t="shared" si="0"/>
        <v>0</v>
      </c>
      <c r="G35" s="7"/>
      <c r="H35" s="7"/>
    </row>
    <row r="36" spans="2:8" x14ac:dyDescent="0.2">
      <c r="B36" s="6"/>
      <c r="C36" s="7"/>
      <c r="D36" s="7"/>
      <c r="E36" s="7">
        <f t="shared" si="1"/>
        <v>0</v>
      </c>
      <c r="F36" s="7">
        <f t="shared" ref="F36:F67" si="2">IF(ISBLANK(C36), E36,ROUND(((C36*E36)/1000), 2))</f>
        <v>0</v>
      </c>
      <c r="G36" s="7"/>
      <c r="H36" s="7"/>
    </row>
    <row r="37" spans="2:8" x14ac:dyDescent="0.2">
      <c r="B37" s="6"/>
      <c r="C37" s="7"/>
      <c r="D37" s="7"/>
      <c r="E37" s="7">
        <f t="shared" si="1"/>
        <v>0</v>
      </c>
      <c r="F37" s="7">
        <f t="shared" si="2"/>
        <v>0</v>
      </c>
      <c r="G37" s="7"/>
      <c r="H37" s="7"/>
    </row>
    <row r="38" spans="2:8" x14ac:dyDescent="0.2">
      <c r="B38" s="6"/>
      <c r="C38" s="7"/>
      <c r="D38" s="7"/>
      <c r="E38" s="7">
        <f t="shared" si="1"/>
        <v>0</v>
      </c>
      <c r="F38" s="7">
        <f t="shared" si="2"/>
        <v>0</v>
      </c>
      <c r="G38" s="7"/>
      <c r="H38" s="7"/>
    </row>
    <row r="39" spans="2:8" x14ac:dyDescent="0.2">
      <c r="B39" s="6"/>
      <c r="C39" s="7"/>
      <c r="D39" s="7"/>
      <c r="E39" s="7">
        <f t="shared" si="1"/>
        <v>0</v>
      </c>
      <c r="F39" s="7">
        <f t="shared" si="2"/>
        <v>0</v>
      </c>
      <c r="G39" s="7"/>
      <c r="H39" s="7"/>
    </row>
    <row r="40" spans="2:8" x14ac:dyDescent="0.2">
      <c r="B40" s="6"/>
      <c r="C40" s="7"/>
      <c r="D40" s="7"/>
      <c r="E40" s="7">
        <f t="shared" si="1"/>
        <v>0</v>
      </c>
      <c r="F40" s="7">
        <f t="shared" si="2"/>
        <v>0</v>
      </c>
      <c r="G40" s="7"/>
      <c r="H40" s="7"/>
    </row>
    <row r="41" spans="2:8" x14ac:dyDescent="0.2">
      <c r="B41" s="6"/>
      <c r="C41" s="7"/>
      <c r="D41" s="7"/>
      <c r="E41" s="7">
        <f t="shared" si="1"/>
        <v>0</v>
      </c>
      <c r="F41" s="7">
        <f t="shared" si="2"/>
        <v>0</v>
      </c>
      <c r="G41" s="7"/>
      <c r="H41" s="7"/>
    </row>
    <row r="42" spans="2:8" x14ac:dyDescent="0.2">
      <c r="B42" s="6"/>
      <c r="C42" s="7"/>
      <c r="D42" s="7"/>
      <c r="E42" s="7">
        <f t="shared" si="1"/>
        <v>0</v>
      </c>
      <c r="F42" s="7">
        <f t="shared" si="2"/>
        <v>0</v>
      </c>
      <c r="G42" s="7"/>
      <c r="H42" s="7"/>
    </row>
    <row r="43" spans="2:8" x14ac:dyDescent="0.2">
      <c r="B43" s="6"/>
      <c r="C43" s="7"/>
      <c r="D43" s="7"/>
      <c r="E43" s="7">
        <f t="shared" si="1"/>
        <v>0</v>
      </c>
      <c r="F43" s="7">
        <f t="shared" si="2"/>
        <v>0</v>
      </c>
      <c r="G43" s="7"/>
      <c r="H43" s="7"/>
    </row>
    <row r="44" spans="2:8" x14ac:dyDescent="0.2">
      <c r="B44" s="6"/>
      <c r="C44" s="7"/>
      <c r="D44" s="7"/>
      <c r="E44" s="7">
        <f t="shared" si="1"/>
        <v>0</v>
      </c>
      <c r="F44" s="7">
        <f t="shared" si="2"/>
        <v>0</v>
      </c>
      <c r="G44" s="7"/>
      <c r="H44" s="7"/>
    </row>
    <row r="45" spans="2:8" x14ac:dyDescent="0.2">
      <c r="B45" s="6"/>
      <c r="C45" s="7"/>
      <c r="D45" s="7"/>
      <c r="E45" s="7">
        <f t="shared" si="1"/>
        <v>0</v>
      </c>
      <c r="F45" s="7">
        <f t="shared" si="2"/>
        <v>0</v>
      </c>
      <c r="G45" s="7"/>
      <c r="H45" s="7"/>
    </row>
    <row r="46" spans="2:8" x14ac:dyDescent="0.2">
      <c r="B46" s="7"/>
      <c r="C46" s="7"/>
      <c r="D46" s="7"/>
      <c r="E46" s="7">
        <f t="shared" si="1"/>
        <v>0</v>
      </c>
      <c r="F46" s="7">
        <f t="shared" si="2"/>
        <v>0</v>
      </c>
      <c r="G46" s="7"/>
      <c r="H46" s="7"/>
    </row>
    <row r="47" spans="2:8" x14ac:dyDescent="0.2">
      <c r="B47" s="7"/>
      <c r="C47" s="7"/>
      <c r="D47" s="7"/>
      <c r="E47" s="7">
        <f t="shared" si="1"/>
        <v>0</v>
      </c>
      <c r="F47" s="7">
        <f t="shared" si="2"/>
        <v>0</v>
      </c>
      <c r="G47" s="7"/>
      <c r="H47" s="7"/>
    </row>
    <row r="48" spans="2:8" x14ac:dyDescent="0.2">
      <c r="B48" s="7"/>
      <c r="C48" s="7"/>
      <c r="D48" s="7"/>
      <c r="E48" s="7">
        <f t="shared" si="1"/>
        <v>0</v>
      </c>
      <c r="F48" s="7">
        <f t="shared" si="2"/>
        <v>0</v>
      </c>
      <c r="G48" s="7"/>
      <c r="H48" s="7"/>
    </row>
    <row r="49" spans="2:8" x14ac:dyDescent="0.2">
      <c r="B49" s="7"/>
      <c r="C49" s="7"/>
      <c r="D49" s="7"/>
      <c r="E49" s="7">
        <f t="shared" si="1"/>
        <v>0</v>
      </c>
      <c r="F49" s="7">
        <f t="shared" si="2"/>
        <v>0</v>
      </c>
      <c r="G49" s="7"/>
      <c r="H49" s="7"/>
    </row>
    <row r="50" spans="2:8" x14ac:dyDescent="0.2">
      <c r="B50" s="7"/>
      <c r="C50" s="7"/>
      <c r="D50" s="7"/>
      <c r="E50" s="7">
        <f t="shared" si="1"/>
        <v>0</v>
      </c>
      <c r="F50" s="7">
        <f t="shared" si="2"/>
        <v>0</v>
      </c>
      <c r="G50" s="7"/>
      <c r="H50" s="7"/>
    </row>
    <row r="51" spans="2:8" x14ac:dyDescent="0.2">
      <c r="B51" s="7"/>
      <c r="C51" s="7"/>
      <c r="D51" s="7"/>
      <c r="E51" s="7">
        <f t="shared" si="1"/>
        <v>0</v>
      </c>
      <c r="F51" s="7">
        <f t="shared" si="2"/>
        <v>0</v>
      </c>
      <c r="G51" s="7"/>
      <c r="H51" s="7"/>
    </row>
    <row r="52" spans="2:8" x14ac:dyDescent="0.2">
      <c r="B52" s="7"/>
      <c r="C52" s="7"/>
      <c r="D52" s="7"/>
      <c r="E52" s="7">
        <f t="shared" si="1"/>
        <v>0</v>
      </c>
      <c r="F52" s="7">
        <f t="shared" si="2"/>
        <v>0</v>
      </c>
      <c r="G52" s="7"/>
      <c r="H52" s="7"/>
    </row>
    <row r="53" spans="2:8" x14ac:dyDescent="0.2">
      <c r="B53" s="7"/>
      <c r="C53" s="7"/>
      <c r="D53" s="7"/>
      <c r="E53" s="7">
        <f t="shared" si="1"/>
        <v>0</v>
      </c>
      <c r="F53" s="7">
        <f t="shared" si="2"/>
        <v>0</v>
      </c>
      <c r="G53" s="7"/>
      <c r="H53" s="7"/>
    </row>
    <row r="54" spans="2:8" x14ac:dyDescent="0.2">
      <c r="B54" s="7"/>
      <c r="C54" s="7"/>
      <c r="D54" s="7"/>
      <c r="E54" s="7">
        <f t="shared" si="1"/>
        <v>0</v>
      </c>
      <c r="F54" s="7">
        <f t="shared" si="2"/>
        <v>0</v>
      </c>
      <c r="G54" s="7"/>
      <c r="H54" s="7"/>
    </row>
    <row r="55" spans="2:8" x14ac:dyDescent="0.2">
      <c r="B55" s="7"/>
      <c r="C55" s="7"/>
      <c r="D55" s="7"/>
      <c r="E55" s="7">
        <f t="shared" si="1"/>
        <v>0</v>
      </c>
      <c r="F55" s="7">
        <f t="shared" si="2"/>
        <v>0</v>
      </c>
      <c r="G55" s="7"/>
      <c r="H55" s="7"/>
    </row>
  </sheetData>
  <mergeCells count="4">
    <mergeCell ref="A1:B2"/>
    <mergeCell ref="C1:H1"/>
    <mergeCell ref="C2:H2"/>
    <mergeCell ref="I1:K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8AB5-0B09-3540-8969-A2FC5B05A636}">
  <dimension ref="A1:B99"/>
  <sheetViews>
    <sheetView workbookViewId="0">
      <selection activeCell="A54" sqref="A54"/>
    </sheetView>
  </sheetViews>
  <sheetFormatPr baseColWidth="10" defaultRowHeight="16" x14ac:dyDescent="0.2"/>
  <cols>
    <col min="1" max="1" width="35.83203125" bestFit="1" customWidth="1"/>
    <col min="2" max="2" width="15.5" customWidth="1"/>
  </cols>
  <sheetData>
    <row r="1" spans="1:2" x14ac:dyDescent="0.2">
      <c r="A1" s="4" t="s">
        <v>112</v>
      </c>
      <c r="B1" s="4" t="s">
        <v>113</v>
      </c>
    </row>
    <row r="2" spans="1:2" x14ac:dyDescent="0.2">
      <c r="A2" s="4" t="s">
        <v>14</v>
      </c>
      <c r="B2" s="4" t="s">
        <v>49</v>
      </c>
    </row>
    <row r="3" spans="1:2" x14ac:dyDescent="0.2">
      <c r="A3" s="4" t="s">
        <v>52</v>
      </c>
      <c r="B3" s="4" t="s">
        <v>51</v>
      </c>
    </row>
    <row r="4" spans="1:2" x14ac:dyDescent="0.2">
      <c r="A4" s="4" t="s">
        <v>114</v>
      </c>
      <c r="B4" s="4" t="s">
        <v>161</v>
      </c>
    </row>
    <row r="5" spans="1:2" x14ac:dyDescent="0.2">
      <c r="A5" s="4" t="s">
        <v>15</v>
      </c>
      <c r="B5" s="4" t="s">
        <v>50</v>
      </c>
    </row>
    <row r="6" spans="1:2" x14ac:dyDescent="0.2">
      <c r="A6" s="4" t="s">
        <v>54</v>
      </c>
      <c r="B6" s="4" t="s">
        <v>53</v>
      </c>
    </row>
    <row r="7" spans="1:2" x14ac:dyDescent="0.2">
      <c r="A7" s="4" t="s">
        <v>56</v>
      </c>
      <c r="B7" s="4" t="s">
        <v>55</v>
      </c>
    </row>
    <row r="8" spans="1:2" x14ac:dyDescent="0.2">
      <c r="A8" s="4" t="s">
        <v>59</v>
      </c>
      <c r="B8" s="4" t="s">
        <v>58</v>
      </c>
    </row>
    <row r="9" spans="1:2" x14ac:dyDescent="0.2">
      <c r="A9" s="4" t="s">
        <v>61</v>
      </c>
      <c r="B9" s="4" t="s">
        <v>60</v>
      </c>
    </row>
    <row r="10" spans="1:2" x14ac:dyDescent="0.2">
      <c r="A10" s="4" t="s">
        <v>27</v>
      </c>
      <c r="B10" s="4" t="s">
        <v>31</v>
      </c>
    </row>
    <row r="11" spans="1:2" x14ac:dyDescent="0.2">
      <c r="A11" s="4" t="s">
        <v>28</v>
      </c>
      <c r="B11" s="4" t="s">
        <v>32</v>
      </c>
    </row>
    <row r="12" spans="1:2" x14ac:dyDescent="0.2">
      <c r="A12" s="4" t="s">
        <v>29</v>
      </c>
      <c r="B12" s="4" t="s">
        <v>33</v>
      </c>
    </row>
    <row r="13" spans="1:2" x14ac:dyDescent="0.2">
      <c r="A13" s="4" t="s">
        <v>30</v>
      </c>
      <c r="B13" s="4" t="s">
        <v>34</v>
      </c>
    </row>
    <row r="14" spans="1:2" x14ac:dyDescent="0.2">
      <c r="A14" s="4" t="s">
        <v>65</v>
      </c>
      <c r="B14" s="4" t="s">
        <v>64</v>
      </c>
    </row>
    <row r="15" spans="1:2" x14ac:dyDescent="0.2">
      <c r="A15" s="4" t="s">
        <v>67</v>
      </c>
      <c r="B15" s="4" t="s">
        <v>66</v>
      </c>
    </row>
    <row r="16" spans="1:2" x14ac:dyDescent="0.2">
      <c r="A16" s="4" t="s">
        <v>69</v>
      </c>
      <c r="B16" s="4" t="s">
        <v>68</v>
      </c>
    </row>
    <row r="17" spans="1:2" x14ac:dyDescent="0.2">
      <c r="A17" s="4" t="s">
        <v>71</v>
      </c>
      <c r="B17" s="4" t="s">
        <v>70</v>
      </c>
    </row>
    <row r="18" spans="1:2" x14ac:dyDescent="0.2">
      <c r="A18" s="4" t="s">
        <v>73</v>
      </c>
      <c r="B18" s="4" t="s">
        <v>72</v>
      </c>
    </row>
    <row r="19" spans="1:2" x14ac:dyDescent="0.2">
      <c r="A19" s="4" t="s">
        <v>12</v>
      </c>
      <c r="B19" s="4" t="s">
        <v>74</v>
      </c>
    </row>
    <row r="20" spans="1:2" x14ac:dyDescent="0.2">
      <c r="A20" s="4" t="s">
        <v>11</v>
      </c>
      <c r="B20" s="4" t="s">
        <v>75</v>
      </c>
    </row>
    <row r="21" spans="1:2" x14ac:dyDescent="0.2">
      <c r="A21" s="4" t="s">
        <v>13</v>
      </c>
      <c r="B21" s="4" t="s">
        <v>76</v>
      </c>
    </row>
    <row r="22" spans="1:2" x14ac:dyDescent="0.2">
      <c r="A22" s="4" t="s">
        <v>5</v>
      </c>
      <c r="B22" s="4" t="s">
        <v>77</v>
      </c>
    </row>
    <row r="23" spans="1:2" x14ac:dyDescent="0.2">
      <c r="A23" s="4" t="s">
        <v>6</v>
      </c>
      <c r="B23" s="4" t="s">
        <v>78</v>
      </c>
    </row>
    <row r="24" spans="1:2" x14ac:dyDescent="0.2">
      <c r="A24" s="4" t="s">
        <v>7</v>
      </c>
      <c r="B24" s="4" t="s">
        <v>79</v>
      </c>
    </row>
    <row r="25" spans="1:2" x14ac:dyDescent="0.2">
      <c r="A25" s="4" t="s">
        <v>35</v>
      </c>
      <c r="B25" s="4" t="s">
        <v>39</v>
      </c>
    </row>
    <row r="26" spans="1:2" x14ac:dyDescent="0.2">
      <c r="A26" s="4" t="s">
        <v>36</v>
      </c>
      <c r="B26" s="4" t="s">
        <v>40</v>
      </c>
    </row>
    <row r="27" spans="1:2" x14ac:dyDescent="0.2">
      <c r="A27" s="4" t="s">
        <v>37</v>
      </c>
      <c r="B27" s="4" t="s">
        <v>41</v>
      </c>
    </row>
    <row r="28" spans="1:2" x14ac:dyDescent="0.2">
      <c r="A28" s="4" t="s">
        <v>38</v>
      </c>
      <c r="B28" s="4" t="s">
        <v>42</v>
      </c>
    </row>
    <row r="29" spans="1:2" x14ac:dyDescent="0.2">
      <c r="A29" s="4" t="s">
        <v>8</v>
      </c>
      <c r="B29" s="4" t="s">
        <v>80</v>
      </c>
    </row>
    <row r="30" spans="1:2" x14ac:dyDescent="0.2">
      <c r="A30" s="4" t="s">
        <v>9</v>
      </c>
      <c r="B30" s="4" t="s">
        <v>81</v>
      </c>
    </row>
    <row r="31" spans="1:2" x14ac:dyDescent="0.2">
      <c r="A31" s="4" t="s">
        <v>17</v>
      </c>
      <c r="B31" s="4" t="s">
        <v>82</v>
      </c>
    </row>
    <row r="32" spans="1:2" x14ac:dyDescent="0.2">
      <c r="A32" s="4" t="s">
        <v>18</v>
      </c>
      <c r="B32" s="4" t="s">
        <v>83</v>
      </c>
    </row>
    <row r="33" spans="1:2" x14ac:dyDescent="0.2">
      <c r="A33" s="4" t="s">
        <v>19</v>
      </c>
      <c r="B33" s="4" t="s">
        <v>84</v>
      </c>
    </row>
    <row r="34" spans="1:2" x14ac:dyDescent="0.2">
      <c r="A34" s="4" t="s">
        <v>20</v>
      </c>
      <c r="B34" s="4" t="s">
        <v>85</v>
      </c>
    </row>
    <row r="35" spans="1:2" x14ac:dyDescent="0.2">
      <c r="A35" s="4" t="s">
        <v>21</v>
      </c>
      <c r="B35" s="4" t="s">
        <v>86</v>
      </c>
    </row>
    <row r="36" spans="1:2" x14ac:dyDescent="0.2">
      <c r="A36" s="4" t="s">
        <v>22</v>
      </c>
      <c r="B36" s="4" t="s">
        <v>87</v>
      </c>
    </row>
    <row r="37" spans="1:2" x14ac:dyDescent="0.2">
      <c r="A37" s="4" t="s">
        <v>23</v>
      </c>
      <c r="B37" s="4" t="s">
        <v>88</v>
      </c>
    </row>
    <row r="38" spans="1:2" x14ac:dyDescent="0.2">
      <c r="A38" s="4" t="s">
        <v>24</v>
      </c>
      <c r="B38" s="4" t="s">
        <v>89</v>
      </c>
    </row>
    <row r="39" spans="1:2" x14ac:dyDescent="0.2">
      <c r="A39" s="4" t="s">
        <v>25</v>
      </c>
      <c r="B39" s="4" t="s">
        <v>90</v>
      </c>
    </row>
    <row r="40" spans="1:2" x14ac:dyDescent="0.2">
      <c r="A40" s="4" t="s">
        <v>26</v>
      </c>
      <c r="B40" s="4" t="s">
        <v>91</v>
      </c>
    </row>
    <row r="41" spans="1:2" x14ac:dyDescent="0.2">
      <c r="A41" s="4" t="s">
        <v>16</v>
      </c>
      <c r="B41" s="4" t="s">
        <v>92</v>
      </c>
    </row>
    <row r="42" spans="1:2" x14ac:dyDescent="0.2">
      <c r="A42" s="4" t="s">
        <v>115</v>
      </c>
      <c r="B42" s="4" t="s">
        <v>162</v>
      </c>
    </row>
    <row r="43" spans="1:2" x14ac:dyDescent="0.2">
      <c r="A43" s="4" t="s">
        <v>94</v>
      </c>
      <c r="B43" s="4" t="s">
        <v>93</v>
      </c>
    </row>
    <row r="44" spans="1:2" x14ac:dyDescent="0.2">
      <c r="A44" s="4" t="s">
        <v>96</v>
      </c>
      <c r="B44" s="4" t="s">
        <v>95</v>
      </c>
    </row>
    <row r="45" spans="1:2" x14ac:dyDescent="0.2">
      <c r="A45" s="4" t="s">
        <v>10</v>
      </c>
      <c r="B45" s="4" t="s">
        <v>97</v>
      </c>
    </row>
    <row r="46" spans="1:2" x14ac:dyDescent="0.2">
      <c r="A46" s="4" t="s">
        <v>99</v>
      </c>
      <c r="B46" s="4" t="s">
        <v>98</v>
      </c>
    </row>
    <row r="47" spans="1:2" x14ac:dyDescent="0.2">
      <c r="A47" s="4" t="s">
        <v>101</v>
      </c>
      <c r="B47" s="4" t="s">
        <v>100</v>
      </c>
    </row>
    <row r="48" spans="1:2" x14ac:dyDescent="0.2">
      <c r="A48" s="4" t="s">
        <v>116</v>
      </c>
      <c r="B48" s="4" t="s">
        <v>163</v>
      </c>
    </row>
    <row r="49" spans="1:2" x14ac:dyDescent="0.2">
      <c r="A49" s="4" t="s">
        <v>117</v>
      </c>
      <c r="B49" s="4" t="s">
        <v>164</v>
      </c>
    </row>
    <row r="50" spans="1:2" x14ac:dyDescent="0.2">
      <c r="A50" s="4" t="s">
        <v>118</v>
      </c>
      <c r="B50" s="4" t="s">
        <v>165</v>
      </c>
    </row>
    <row r="51" spans="1:2" x14ac:dyDescent="0.2">
      <c r="A51" s="4" t="s">
        <v>119</v>
      </c>
      <c r="B51" s="4" t="s">
        <v>166</v>
      </c>
    </row>
    <row r="52" spans="1:2" x14ac:dyDescent="0.2">
      <c r="A52" s="4" t="s">
        <v>120</v>
      </c>
      <c r="B52" s="4" t="s">
        <v>167</v>
      </c>
    </row>
    <row r="53" spans="1:2" x14ac:dyDescent="0.2">
      <c r="A53" s="4" t="s">
        <v>121</v>
      </c>
      <c r="B53" s="4" t="s">
        <v>168</v>
      </c>
    </row>
    <row r="54" spans="1:2" x14ac:dyDescent="0.2">
      <c r="A54" s="4" t="s">
        <v>122</v>
      </c>
      <c r="B54" s="4" t="s">
        <v>169</v>
      </c>
    </row>
    <row r="55" spans="1:2" x14ac:dyDescent="0.2">
      <c r="A55" s="4" t="s">
        <v>123</v>
      </c>
      <c r="B55" s="4" t="s">
        <v>170</v>
      </c>
    </row>
    <row r="56" spans="1:2" x14ac:dyDescent="0.2">
      <c r="A56" s="4" t="s">
        <v>124</v>
      </c>
      <c r="B56" s="4" t="s">
        <v>171</v>
      </c>
    </row>
    <row r="57" spans="1:2" x14ac:dyDescent="0.2">
      <c r="A57" s="4" t="s">
        <v>125</v>
      </c>
      <c r="B57" s="4" t="s">
        <v>172</v>
      </c>
    </row>
    <row r="58" spans="1:2" x14ac:dyDescent="0.2">
      <c r="A58" s="4" t="s">
        <v>126</v>
      </c>
      <c r="B58" s="4" t="s">
        <v>173</v>
      </c>
    </row>
    <row r="59" spans="1:2" x14ac:dyDescent="0.2">
      <c r="A59" s="4" t="s">
        <v>127</v>
      </c>
      <c r="B59" s="4" t="s">
        <v>174</v>
      </c>
    </row>
    <row r="60" spans="1:2" x14ac:dyDescent="0.2">
      <c r="A60" s="4" t="s">
        <v>128</v>
      </c>
      <c r="B60" s="4" t="s">
        <v>175</v>
      </c>
    </row>
    <row r="61" spans="1:2" x14ac:dyDescent="0.2">
      <c r="A61" s="4" t="s">
        <v>129</v>
      </c>
      <c r="B61" s="4" t="s">
        <v>176</v>
      </c>
    </row>
    <row r="62" spans="1:2" x14ac:dyDescent="0.2">
      <c r="A62" s="4" t="s">
        <v>130</v>
      </c>
      <c r="B62" s="4" t="s">
        <v>177</v>
      </c>
    </row>
    <row r="63" spans="1:2" x14ac:dyDescent="0.2">
      <c r="A63" s="4" t="s">
        <v>131</v>
      </c>
      <c r="B63" s="4" t="s">
        <v>178</v>
      </c>
    </row>
    <row r="64" spans="1:2" x14ac:dyDescent="0.2">
      <c r="A64" s="4" t="s">
        <v>132</v>
      </c>
      <c r="B64" s="4" t="s">
        <v>179</v>
      </c>
    </row>
    <row r="65" spans="1:2" x14ac:dyDescent="0.2">
      <c r="A65" s="4" t="s">
        <v>133</v>
      </c>
      <c r="B65" s="4" t="s">
        <v>180</v>
      </c>
    </row>
    <row r="66" spans="1:2" x14ac:dyDescent="0.2">
      <c r="A66" s="4" t="s">
        <v>134</v>
      </c>
      <c r="B66" s="4" t="s">
        <v>181</v>
      </c>
    </row>
    <row r="67" spans="1:2" x14ac:dyDescent="0.2">
      <c r="A67" s="4" t="s">
        <v>135</v>
      </c>
      <c r="B67" s="4" t="s">
        <v>182</v>
      </c>
    </row>
    <row r="68" spans="1:2" x14ac:dyDescent="0.2">
      <c r="A68" s="4" t="s">
        <v>136</v>
      </c>
      <c r="B68" s="4" t="s">
        <v>183</v>
      </c>
    </row>
    <row r="69" spans="1:2" x14ac:dyDescent="0.2">
      <c r="A69" s="4" t="s">
        <v>137</v>
      </c>
      <c r="B69" s="4" t="s">
        <v>184</v>
      </c>
    </row>
    <row r="70" spans="1:2" x14ac:dyDescent="0.2">
      <c r="A70" s="4" t="s">
        <v>138</v>
      </c>
      <c r="B70" s="4" t="s">
        <v>185</v>
      </c>
    </row>
    <row r="71" spans="1:2" x14ac:dyDescent="0.2">
      <c r="A71" s="4" t="s">
        <v>139</v>
      </c>
      <c r="B71" s="4" t="s">
        <v>186</v>
      </c>
    </row>
    <row r="72" spans="1:2" x14ac:dyDescent="0.2">
      <c r="A72" s="4" t="s">
        <v>140</v>
      </c>
      <c r="B72" s="4" t="s">
        <v>187</v>
      </c>
    </row>
    <row r="73" spans="1:2" x14ac:dyDescent="0.2">
      <c r="A73" s="4" t="s">
        <v>141</v>
      </c>
      <c r="B73" s="4" t="s">
        <v>188</v>
      </c>
    </row>
    <row r="74" spans="1:2" x14ac:dyDescent="0.2">
      <c r="A74" s="4" t="s">
        <v>142</v>
      </c>
      <c r="B74" s="4" t="s">
        <v>189</v>
      </c>
    </row>
    <row r="75" spans="1:2" x14ac:dyDescent="0.2">
      <c r="A75" s="4" t="s">
        <v>143</v>
      </c>
      <c r="B75" s="4" t="s">
        <v>190</v>
      </c>
    </row>
    <row r="76" spans="1:2" x14ac:dyDescent="0.2">
      <c r="A76" s="4" t="s">
        <v>144</v>
      </c>
      <c r="B76" s="4" t="s">
        <v>191</v>
      </c>
    </row>
    <row r="77" spans="1:2" x14ac:dyDescent="0.2">
      <c r="A77" s="4" t="s">
        <v>145</v>
      </c>
      <c r="B77" s="4" t="s">
        <v>192</v>
      </c>
    </row>
    <row r="78" spans="1:2" x14ac:dyDescent="0.2">
      <c r="A78" s="4" t="s">
        <v>146</v>
      </c>
      <c r="B78" s="4" t="s">
        <v>193</v>
      </c>
    </row>
    <row r="79" spans="1:2" x14ac:dyDescent="0.2">
      <c r="A79" s="4" t="s">
        <v>147</v>
      </c>
      <c r="B79" s="4" t="s">
        <v>194</v>
      </c>
    </row>
    <row r="80" spans="1:2" x14ac:dyDescent="0.2">
      <c r="A80" s="4" t="s">
        <v>148</v>
      </c>
      <c r="B80" s="4" t="s">
        <v>195</v>
      </c>
    </row>
    <row r="81" spans="1:2" x14ac:dyDescent="0.2">
      <c r="A81" s="4" t="s">
        <v>149</v>
      </c>
      <c r="B81" s="4" t="s">
        <v>196</v>
      </c>
    </row>
    <row r="82" spans="1:2" x14ac:dyDescent="0.2">
      <c r="A82" s="4" t="s">
        <v>150</v>
      </c>
      <c r="B82" s="4" t="s">
        <v>197</v>
      </c>
    </row>
    <row r="83" spans="1:2" x14ac:dyDescent="0.2">
      <c r="A83" s="4" t="s">
        <v>151</v>
      </c>
      <c r="B83" s="4" t="s">
        <v>198</v>
      </c>
    </row>
    <row r="84" spans="1:2" x14ac:dyDescent="0.2">
      <c r="A84" s="4" t="s">
        <v>152</v>
      </c>
      <c r="B84" s="4" t="s">
        <v>62</v>
      </c>
    </row>
    <row r="85" spans="1:2" x14ac:dyDescent="0.2">
      <c r="A85" s="4" t="s">
        <v>57</v>
      </c>
      <c r="B85" s="4" t="s">
        <v>199</v>
      </c>
    </row>
    <row r="86" spans="1:2" x14ac:dyDescent="0.2">
      <c r="A86" s="4" t="s">
        <v>153</v>
      </c>
      <c r="B86" s="4" t="s">
        <v>200</v>
      </c>
    </row>
    <row r="87" spans="1:2" x14ac:dyDescent="0.2">
      <c r="A87" s="4" t="s">
        <v>63</v>
      </c>
      <c r="B87" s="4" t="s">
        <v>201</v>
      </c>
    </row>
    <row r="88" spans="1:2" x14ac:dyDescent="0.2">
      <c r="A88" s="4" t="s">
        <v>103</v>
      </c>
      <c r="B88" s="4" t="s">
        <v>102</v>
      </c>
    </row>
    <row r="89" spans="1:2" x14ac:dyDescent="0.2">
      <c r="A89" s="4" t="s">
        <v>105</v>
      </c>
      <c r="B89" s="4" t="s">
        <v>104</v>
      </c>
    </row>
    <row r="90" spans="1:2" x14ac:dyDescent="0.2">
      <c r="A90" s="4" t="s">
        <v>107</v>
      </c>
      <c r="B90" s="4" t="s">
        <v>106</v>
      </c>
    </row>
    <row r="91" spans="1:2" x14ac:dyDescent="0.2">
      <c r="A91" s="4" t="s">
        <v>154</v>
      </c>
      <c r="B91" s="4" t="s">
        <v>202</v>
      </c>
    </row>
    <row r="92" spans="1:2" x14ac:dyDescent="0.2">
      <c r="A92" s="4" t="s">
        <v>155</v>
      </c>
      <c r="B92" s="4" t="s">
        <v>203</v>
      </c>
    </row>
    <row r="93" spans="1:2" x14ac:dyDescent="0.2">
      <c r="A93" s="4" t="s">
        <v>156</v>
      </c>
      <c r="B93" s="4" t="s">
        <v>204</v>
      </c>
    </row>
    <row r="94" spans="1:2" x14ac:dyDescent="0.2">
      <c r="A94" s="4" t="s">
        <v>157</v>
      </c>
      <c r="B94" s="4" t="s">
        <v>205</v>
      </c>
    </row>
    <row r="95" spans="1:2" x14ac:dyDescent="0.2">
      <c r="A95" s="4" t="s">
        <v>158</v>
      </c>
      <c r="B95" s="4" t="s">
        <v>206</v>
      </c>
    </row>
    <row r="96" spans="1:2" x14ac:dyDescent="0.2">
      <c r="A96" s="4" t="s">
        <v>159</v>
      </c>
      <c r="B96" s="4" t="s">
        <v>207</v>
      </c>
    </row>
    <row r="97" spans="1:2" x14ac:dyDescent="0.2">
      <c r="A97" s="4" t="s">
        <v>160</v>
      </c>
      <c r="B97" s="4" t="s">
        <v>208</v>
      </c>
    </row>
    <row r="98" spans="1:2" x14ac:dyDescent="0.2">
      <c r="A98" s="4" t="s">
        <v>111</v>
      </c>
      <c r="B98" s="4" t="s">
        <v>110</v>
      </c>
    </row>
    <row r="99" spans="1:2" x14ac:dyDescent="0.2">
      <c r="A99" s="4" t="s">
        <v>109</v>
      </c>
      <c r="B99" s="4" t="s">
        <v>108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2024-09-13T10:51:37Z</dcterms:created>
  <dcterms:modified xsi:type="dcterms:W3CDTF">2026-01-31T06:35:08Z</dcterms:modified>
</cp:coreProperties>
</file>